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ormit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565C0"/>
        <b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4" customWidth="1" min="4" max="4"/>
    <col width="16" customWidth="1" min="5" max="5"/>
  </cols>
  <sheetData>
    <row r="1">
      <c r="A1" s="1" t="inlineStr">
        <is>
          <t>Station</t>
        </is>
      </c>
      <c r="B1" s="1" t="inlineStr">
        <is>
          <t>Heure prévue</t>
        </is>
      </c>
      <c r="C1" s="1" t="inlineStr">
        <is>
          <t>Heure réelle</t>
        </is>
      </c>
      <c r="D1" s="1" t="inlineStr">
        <is>
          <t>Écart (min)</t>
        </is>
      </c>
      <c r="E1" s="1" t="inlineStr">
        <is>
          <t>Statut</t>
        </is>
      </c>
    </row>
    <row r="2">
      <c r="A2" s="2" t="inlineStr">
        <is>
          <t>Balafon</t>
        </is>
      </c>
      <c r="B2" s="2" t="inlineStr">
        <is>
          <t>14/09/2026 21h32</t>
        </is>
      </c>
      <c r="C2" s="2" t="inlineStr">
        <is>
          <t>—</t>
        </is>
      </c>
      <c r="D2" s="2" t="n"/>
      <c r="E2" s="2" t="inlineStr">
        <is>
          <t>Erreur de capture</t>
        </is>
      </c>
    </row>
    <row r="5">
      <c r="A5" s="3" t="inlineStr">
        <is>
          <t>Total diffusions prévues</t>
        </is>
      </c>
      <c r="B5" s="2">
        <f>COUNTA(A2:A2)</f>
        <v/>
      </c>
    </row>
    <row r="6">
      <c r="A6" s="3" t="inlineStr">
        <is>
          <t>Diffusions détectées</t>
        </is>
      </c>
      <c r="B6" s="2">
        <f>COUNTIF(E2:E2,"Conforme")+COUNTIF(E2:E2,"Retard")+COUNTIF(E2:E2,"Avance")</f>
        <v/>
      </c>
    </row>
    <row r="7">
      <c r="A7" s="3" t="inlineStr">
        <is>
          <t>Diffusions conformes</t>
        </is>
      </c>
      <c r="B7" s="2">
        <f>COUNTIF(E2:E2,"Conforme")</f>
        <v/>
      </c>
    </row>
    <row r="8">
      <c r="A8" s="3" t="inlineStr">
        <is>
          <t>Écart moyen (min)</t>
        </is>
      </c>
      <c r="B8" s="2">
        <f>IFERROR(AVERAGE(D2:D2),"—")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2026-09-15T07:59:13Z</dcterms:created>
  <dcterms:modified xsi:type="dcterms:W3CDTF">2026-09-15T07:59:13Z</dcterms:modified>
</cp:coreProperties>
</file>